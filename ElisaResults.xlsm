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dri\Documents\"/>
    </mc:Choice>
  </mc:AlternateContent>
  <xr:revisionPtr revIDLastSave="0" documentId="13_ncr:1_{DF6282A9-BC61-49FF-9E31-36A70FDE54EA}" xr6:coauthVersionLast="47" xr6:coauthVersionMax="47" xr10:uidLastSave="{00000000-0000-0000-0000-000000000000}"/>
  <bookViews>
    <workbookView xWindow="38280" yWindow="-120" windowWidth="38640" windowHeight="21120" activeTab="1" xr2:uid="{1A72B8CE-5B46-4ED1-A019-EA2D5B698904}"/>
  </bookViews>
  <sheets>
    <sheet name="Plate 1 - 10 mins raw data" sheetId="13" r:id="rId1"/>
    <sheet name="Plate 1 - 10 mins analyzed" sheetId="15" r:id="rId2"/>
  </sheets>
  <definedNames>
    <definedName name="MethodPointer1">1723800272</definedName>
    <definedName name="MethodPointer2">314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1" i="15" l="1"/>
  <c r="F81" i="15"/>
  <c r="G81" i="15"/>
  <c r="H81" i="15"/>
  <c r="I81" i="15"/>
  <c r="J81" i="15"/>
  <c r="K81" i="15"/>
  <c r="L81" i="15"/>
  <c r="M81" i="15"/>
  <c r="N81" i="15"/>
  <c r="D81" i="15"/>
  <c r="F80" i="15"/>
  <c r="G80" i="15"/>
  <c r="H80" i="15"/>
  <c r="I80" i="15"/>
  <c r="J80" i="15"/>
  <c r="K80" i="15"/>
  <c r="L80" i="15"/>
  <c r="M80" i="15"/>
  <c r="N80" i="15"/>
  <c r="E80" i="15"/>
  <c r="D80" i="15"/>
  <c r="E76" i="15"/>
  <c r="F76" i="15"/>
  <c r="G76" i="15"/>
  <c r="H76" i="15"/>
  <c r="I76" i="15"/>
  <c r="J76" i="15"/>
  <c r="K76" i="15"/>
  <c r="L76" i="15"/>
  <c r="M76" i="15"/>
  <c r="N76" i="15"/>
  <c r="D76" i="15"/>
  <c r="E75" i="15"/>
  <c r="F75" i="15"/>
  <c r="G75" i="15"/>
  <c r="H75" i="15"/>
  <c r="I75" i="15"/>
  <c r="J75" i="15"/>
  <c r="K75" i="15"/>
  <c r="L75" i="15"/>
  <c r="M75" i="15"/>
  <c r="N75" i="15"/>
  <c r="D75" i="15"/>
  <c r="E74" i="15"/>
  <c r="F74" i="15"/>
  <c r="G74" i="15"/>
  <c r="H74" i="15"/>
  <c r="I74" i="15"/>
  <c r="J74" i="15"/>
  <c r="K74" i="15"/>
  <c r="L74" i="15"/>
  <c r="M74" i="15"/>
  <c r="N74" i="15"/>
  <c r="D74" i="15"/>
  <c r="E73" i="15"/>
  <c r="F73" i="15"/>
  <c r="G73" i="15"/>
  <c r="H73" i="15"/>
  <c r="I73" i="15"/>
  <c r="J73" i="15"/>
  <c r="K73" i="15"/>
  <c r="L73" i="15"/>
  <c r="M73" i="15"/>
  <c r="N73" i="15"/>
  <c r="D73" i="15"/>
  <c r="E72" i="15"/>
  <c r="F72" i="15"/>
  <c r="G72" i="15"/>
  <c r="H72" i="15"/>
  <c r="I72" i="15"/>
  <c r="J72" i="15"/>
  <c r="K72" i="15"/>
  <c r="L72" i="15"/>
  <c r="M72" i="15"/>
  <c r="N72" i="15"/>
  <c r="D72" i="15"/>
  <c r="E71" i="15"/>
  <c r="F71" i="15"/>
  <c r="G71" i="15"/>
  <c r="H71" i="15"/>
  <c r="I71" i="15"/>
  <c r="J71" i="15"/>
  <c r="K71" i="15"/>
  <c r="L71" i="15"/>
  <c r="M71" i="15"/>
  <c r="N71" i="15"/>
  <c r="D71" i="15"/>
  <c r="D60" i="15"/>
  <c r="D61" i="15"/>
  <c r="D62" i="15"/>
  <c r="D63" i="15"/>
  <c r="G63" i="15"/>
  <c r="I63" i="15"/>
  <c r="D64" i="15"/>
  <c r="E64" i="15"/>
  <c r="F64" i="15"/>
  <c r="G64" i="15"/>
  <c r="H64" i="15"/>
  <c r="I64" i="15"/>
  <c r="D65" i="15"/>
  <c r="E65" i="15"/>
  <c r="F65" i="15"/>
  <c r="G65" i="15"/>
  <c r="H65" i="15"/>
  <c r="I65" i="15"/>
  <c r="E66" i="15"/>
  <c r="F66" i="15"/>
  <c r="G66" i="15"/>
  <c r="H66" i="15"/>
  <c r="I66" i="15"/>
  <c r="J66" i="15"/>
  <c r="K66" i="15"/>
  <c r="L66" i="15"/>
  <c r="M66" i="15"/>
  <c r="N66" i="15"/>
  <c r="E67" i="15"/>
  <c r="F67" i="15"/>
  <c r="G67" i="15"/>
  <c r="H67" i="15"/>
  <c r="I67" i="15"/>
  <c r="J67" i="15"/>
  <c r="K67" i="15"/>
  <c r="L67" i="15"/>
  <c r="M67" i="15"/>
  <c r="N67" i="15"/>
  <c r="D49" i="15"/>
  <c r="D50" i="15"/>
  <c r="D51" i="15"/>
  <c r="D52" i="15"/>
  <c r="G52" i="15"/>
  <c r="I52" i="15"/>
  <c r="D53" i="15"/>
  <c r="E53" i="15"/>
  <c r="F53" i="15"/>
  <c r="G53" i="15"/>
  <c r="H53" i="15"/>
  <c r="I53" i="15"/>
  <c r="D54" i="15"/>
  <c r="E54" i="15"/>
  <c r="F54" i="15"/>
  <c r="G54" i="15"/>
  <c r="H54" i="15"/>
  <c r="I54" i="15"/>
  <c r="E55" i="15"/>
  <c r="F55" i="15"/>
  <c r="G55" i="15"/>
  <c r="H55" i="15"/>
  <c r="I55" i="15"/>
  <c r="J55" i="15"/>
  <c r="K55" i="15"/>
  <c r="L55" i="15"/>
  <c r="M55" i="15"/>
  <c r="N55" i="15"/>
  <c r="E56" i="15"/>
  <c r="F56" i="15"/>
  <c r="G56" i="15"/>
  <c r="H56" i="15"/>
  <c r="I56" i="15"/>
  <c r="J56" i="15"/>
  <c r="K56" i="15"/>
  <c r="L56" i="15"/>
  <c r="M56" i="15"/>
  <c r="N56" i="15"/>
  <c r="Q48" i="15" a="1"/>
  <c r="Q48" i="15" s="1"/>
  <c r="R40" i="15"/>
  <c r="R41" i="15"/>
  <c r="R42" i="15"/>
  <c r="R43" i="15"/>
  <c r="R44" i="15"/>
  <c r="R45" i="15"/>
  <c r="R39" i="15"/>
  <c r="Q39" i="15"/>
  <c r="Q40" i="15"/>
  <c r="Q41" i="15"/>
  <c r="Q42" i="15"/>
  <c r="Q43" i="15"/>
  <c r="Q44" i="15"/>
  <c r="Q45" i="15"/>
  <c r="Q38" i="15"/>
  <c r="D38" i="15"/>
  <c r="D39" i="15"/>
  <c r="D40" i="15"/>
  <c r="D41" i="15"/>
  <c r="G41" i="15"/>
  <c r="I41" i="15"/>
  <c r="D42" i="15"/>
  <c r="E42" i="15"/>
  <c r="F42" i="15"/>
  <c r="G42" i="15"/>
  <c r="H42" i="15"/>
  <c r="I42" i="15"/>
  <c r="D43" i="15"/>
  <c r="E43" i="15"/>
  <c r="F43" i="15"/>
  <c r="G43" i="15"/>
  <c r="H43" i="15"/>
  <c r="I43" i="15"/>
  <c r="D44" i="15"/>
  <c r="E44" i="15"/>
  <c r="F44" i="15"/>
  <c r="G44" i="15"/>
  <c r="H44" i="15"/>
  <c r="I44" i="15"/>
  <c r="J44" i="15"/>
  <c r="K44" i="15"/>
  <c r="L44" i="15"/>
  <c r="M44" i="15"/>
  <c r="N44" i="15"/>
  <c r="D45" i="15"/>
  <c r="E45" i="15"/>
  <c r="F45" i="15"/>
  <c r="G45" i="15"/>
  <c r="H45" i="15"/>
  <c r="I45" i="15"/>
  <c r="J45" i="15"/>
  <c r="K45" i="15"/>
  <c r="L45" i="15"/>
  <c r="M45" i="15"/>
  <c r="N45" i="15"/>
  <c r="T26" i="15"/>
  <c r="R30" i="15"/>
  <c r="R29" i="15"/>
  <c r="R28" i="15"/>
  <c r="R27" i="15"/>
  <c r="R26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<sst xmlns="http://schemas.openxmlformats.org/spreadsheetml/2006/main" count="117" uniqueCount="58">
  <si>
    <t>Software Version</t>
  </si>
  <si>
    <t>3.16.10</t>
  </si>
  <si>
    <t>Experiment File Path:</t>
  </si>
  <si>
    <t>Protocol File Path:</t>
  </si>
  <si>
    <t>C:\Users\Public\Documents\Protocols\ELISA_405nm.prt</t>
  </si>
  <si>
    <t>Plate Number</t>
  </si>
  <si>
    <t>Plate 1</t>
  </si>
  <si>
    <t>Date</t>
  </si>
  <si>
    <t>Time</t>
  </si>
  <si>
    <t>Reader Type:</t>
  </si>
  <si>
    <t>Synergy H1</t>
  </si>
  <si>
    <t>Reader Serial Number:</t>
  </si>
  <si>
    <t>Reading Type</t>
  </si>
  <si>
    <t>Reader</t>
  </si>
  <si>
    <t>Procedure Details</t>
  </si>
  <si>
    <t>Plate Type</t>
  </si>
  <si>
    <t>96 WELL PLATE</t>
  </si>
  <si>
    <t>Eject plate on completion</t>
  </si>
  <si>
    <t>Shake</t>
  </si>
  <si>
    <t>Linear: 0:01 (MM:SS)</t>
  </si>
  <si>
    <t>Frequency: 567 cpm (3 mm)</t>
  </si>
  <si>
    <t>Read</t>
  </si>
  <si>
    <t>Absorbance Endpoint</t>
  </si>
  <si>
    <t>Full Plate</t>
  </si>
  <si>
    <t>Wavelengths:  405</t>
  </si>
  <si>
    <t>Read Speed: Normal,  Delay: 100 msec,  Measurements/Data Point: 8</t>
  </si>
  <si>
    <t>Results</t>
  </si>
  <si>
    <t>Actual Temperature:</t>
  </si>
  <si>
    <t>A</t>
  </si>
  <si>
    <t>B</t>
  </si>
  <si>
    <t>C</t>
  </si>
  <si>
    <t>D</t>
  </si>
  <si>
    <t>E</t>
  </si>
  <si>
    <t>F</t>
  </si>
  <si>
    <t>G</t>
  </si>
  <si>
    <t>H</t>
  </si>
  <si>
    <t>XXXXXXXX</t>
  </si>
  <si>
    <t>Raw data</t>
  </si>
  <si>
    <t>Blank selection and averaging</t>
  </si>
  <si>
    <t>Q1</t>
  </si>
  <si>
    <t>Q3</t>
  </si>
  <si>
    <t>IQR</t>
  </si>
  <si>
    <t>lowBd</t>
  </si>
  <si>
    <t>upBd</t>
  </si>
  <si>
    <t>Averagelbub</t>
  </si>
  <si>
    <t>Blank subtraction</t>
  </si>
  <si>
    <t>Standard curve</t>
  </si>
  <si>
    <t>Absorbance</t>
  </si>
  <si>
    <t>Concentration (ng/mL)</t>
  </si>
  <si>
    <t>Slope</t>
  </si>
  <si>
    <t>Intercept</t>
  </si>
  <si>
    <t>Equation application</t>
  </si>
  <si>
    <t>Adjust to serial dilution</t>
  </si>
  <si>
    <t>Dilution selection and averaging</t>
  </si>
  <si>
    <t>Adjust to sample dilution</t>
  </si>
  <si>
    <t>Final concentration</t>
  </si>
  <si>
    <t>ng/mL</t>
  </si>
  <si>
    <t>µg/mL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</si>
</sst>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0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27413E"/>
      <name val="Arial"/>
      <family val="2"/>
    </font>
    <font>
      <sz val="7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E8F3FF"/>
        <bgColor indexed="64"/>
      </patternFill>
    </fill>
    <fill>
      <patternFill patternType="solid">
        <fgColor rgb="FF8DBCE0"/>
        <bgColor indexed="64"/>
      </patternFill>
    </fill>
    <fill>
      <patternFill patternType="solid">
        <fgColor rgb="FF5197CC"/>
        <bgColor indexed="64"/>
      </patternFill>
    </fill>
    <fill>
      <patternFill patternType="solid">
        <fgColor rgb="FF428EC7"/>
        <bgColor indexed="64"/>
      </patternFill>
    </fill>
    <fill>
      <patternFill patternType="solid">
        <fgColor rgb="FF3385C2"/>
        <bgColor indexed="64"/>
      </patternFill>
    </fill>
    <fill>
      <patternFill patternType="solid">
        <fgColor rgb="FF247CBD"/>
        <bgColor indexed="64"/>
      </patternFill>
    </fill>
    <fill>
      <patternFill patternType="solid">
        <fgColor rgb="FFABCEEA"/>
        <bgColor indexed="64"/>
      </patternFill>
    </fill>
    <fill>
      <patternFill patternType="solid">
        <fgColor rgb="FFC9E0F4"/>
        <bgColor indexed="64"/>
      </patternFill>
    </fill>
    <fill>
      <patternFill patternType="solid">
        <fgColor rgb="FF60A0D1"/>
        <bgColor indexed="64"/>
      </patternFill>
    </fill>
    <fill>
      <patternFill patternType="solid">
        <fgColor rgb="FFD8E9F9"/>
        <bgColor indexed="64"/>
      </patternFill>
    </fill>
    <fill>
      <patternFill patternType="solid">
        <fgColor rgb="FF6FA9D6"/>
        <bgColor indexed="64"/>
      </patternFill>
    </fill>
    <fill>
      <patternFill patternType="solid">
        <fgColor rgb="FF9CC5E5"/>
        <bgColor indexed="64"/>
      </patternFill>
    </fill>
    <fill>
      <patternFill patternType="solid">
        <fgColor rgb="FFBAD7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1" fillId="0" borderId="0" xfId="1"/>
    <xf numFmtId="0" fontId="1" fillId="2" borderId="1" xfId="1" applyFill="1" applyBorder="1" applyAlignment="1">
      <alignment vertical="center" wrapText="1"/>
    </xf>
    <xf numFmtId="0" fontId="4" fillId="2" borderId="2" xfId="1" applyFont="1" applyFill="1" applyBorder="1" applyAlignment="1">
      <alignment horizontal="center" vertical="center" wrapText="1"/>
    </xf>
    <xf numFmtId="0" fontId="3" fillId="3" borderId="2" xfId="1" applyFont="1" applyFill="1" applyBorder="1" applyAlignment="1">
      <alignment horizontal="center" vertical="center" wrapText="1"/>
    </xf>
    <xf numFmtId="0" fontId="3" fillId="5" borderId="2" xfId="1" applyFont="1" applyFill="1" applyBorder="1" applyAlignment="1">
      <alignment horizontal="center" vertical="center" wrapText="1"/>
    </xf>
    <xf numFmtId="0" fontId="3" fillId="7" borderId="2" xfId="1" applyFont="1" applyFill="1" applyBorder="1" applyAlignment="1">
      <alignment horizontal="center" vertical="center" wrapText="1"/>
    </xf>
    <xf numFmtId="0" fontId="3" fillId="8" borderId="2" xfId="1" applyFont="1" applyFill="1" applyBorder="1" applyAlignment="1">
      <alignment horizontal="center" vertical="center" wrapText="1"/>
    </xf>
    <xf numFmtId="0" fontId="3" fillId="4" borderId="2" xfId="1" applyFont="1" applyFill="1" applyBorder="1" applyAlignment="1">
      <alignment horizontal="center" vertical="center" wrapText="1"/>
    </xf>
    <xf numFmtId="0" fontId="3" fillId="9" borderId="2" xfId="1" applyFont="1" applyFill="1" applyBorder="1" applyAlignment="1">
      <alignment horizontal="center" vertical="center" wrapText="1"/>
    </xf>
    <xf numFmtId="0" fontId="3" fillId="6" borderId="2" xfId="1" applyFont="1" applyFill="1" applyBorder="1" applyAlignment="1">
      <alignment horizontal="center" vertical="center" wrapText="1"/>
    </xf>
    <xf numFmtId="0" fontId="3" fillId="10" borderId="2" xfId="1" applyFont="1" applyFill="1" applyBorder="1" applyAlignment="1">
      <alignment horizontal="center" vertical="center" wrapText="1"/>
    </xf>
    <xf numFmtId="0" fontId="3" fillId="13" borderId="2" xfId="1" applyFont="1" applyFill="1" applyBorder="1" applyAlignment="1">
      <alignment horizontal="center" vertical="center" wrapText="1"/>
    </xf>
    <xf numFmtId="0" fontId="3" fillId="12" borderId="2" xfId="1" applyFont="1" applyFill="1" applyBorder="1" applyAlignment="1">
      <alignment horizontal="center" vertical="center" wrapText="1"/>
    </xf>
    <xf numFmtId="0" fontId="3" fillId="14" borderId="2" xfId="1" applyFont="1" applyFill="1" applyBorder="1" applyAlignment="1">
      <alignment horizontal="center" vertical="center" wrapText="1"/>
    </xf>
    <xf numFmtId="0" fontId="3" fillId="11" borderId="2" xfId="1" applyFont="1" applyFill="1" applyBorder="1" applyAlignment="1">
      <alignment horizontal="center" vertical="center" wrapText="1"/>
    </xf>
    <xf numFmtId="0" fontId="3" fillId="15" borderId="2" xfId="1" applyFont="1" applyFill="1" applyBorder="1" applyAlignment="1">
      <alignment horizontal="center" vertical="center" wrapText="1"/>
    </xf>
    <xf numFmtId="0" fontId="1" fillId="0" borderId="0" xfId="1" applyAlignment="1">
      <alignment vertical="center" wrapText="1"/>
    </xf>
    <xf numFmtId="0" fontId="4" fillId="0" borderId="0" xfId="1" applyFont="1" applyAlignment="1">
      <alignment horizontal="center" vertical="center" wrapText="1"/>
    </xf>
    <xf numFmtId="0" fontId="2" fillId="0" borderId="0" xfId="1" applyFont="1" applyAlignment="1">
      <alignment horizontal="left" vertical="center" wrapText="1"/>
    </xf>
    <xf numFmtId="0" fontId="3" fillId="0" borderId="0" xfId="1" applyFont="1" applyAlignment="1">
      <alignment horizontal="left" vertical="center" wrapText="1"/>
    </xf>
    <xf numFmtId="14" fontId="1" fillId="0" borderId="0" xfId="1" applyNumberFormat="1"/>
    <xf numFmtId="19" fontId="1" fillId="0" borderId="0" xfId="1" applyNumberFormat="1"/>
    <xf numFmtId="0" fontId="1" fillId="0" borderId="3" xfId="1" applyBorder="1"/>
    <xf numFmtId="0" fontId="5" fillId="0" borderId="4" xfId="1" applyFont="1" applyBorder="1" applyAlignment="1">
      <alignment horizontal="left" vertical="center" wrapText="1"/>
    </xf>
    <xf numFmtId="0" fontId="1" fillId="0" borderId="2" xfId="1" applyBorder="1"/>
    <xf numFmtId="14" fontId="1" fillId="0" borderId="2" xfId="1" applyNumberFormat="1" applyBorder="1"/>
    <xf numFmtId="19" fontId="1" fillId="0" borderId="2" xfId="1" applyNumberFormat="1" applyBorder="1"/>
    <xf numFmtId="0" fontId="2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left" vertical="center" wrapText="1"/>
    </xf>
    <xf numFmtId="0" fontId="1" fillId="2" borderId="2" xfId="1" applyFill="1" applyBorder="1" applyAlignment="1">
      <alignment horizontal="center"/>
    </xf>
    <xf numFmtId="0" fontId="1" fillId="2" borderId="2" xfId="1" applyFill="1" applyBorder="1"/>
    <xf numFmtId="0" fontId="1" fillId="0" borderId="2" xfId="1" applyBorder="1" applyAlignment="1">
      <alignment horizontal="center"/>
    </xf>
  </cellXfs>
  <cellStyles count="2">
    <cellStyle name="Normal" xfId="0" builtinId="0"/>
    <cellStyle name="Normal 2" xfId="1" xr:uid="{FE333309-92EC-4ADA-B418-1DE9737158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'Plate 1 - 10 mins analyzed'!$R$37</c:f>
              <c:strCache>
                <c:ptCount val="1"/>
                <c:pt idx="0">
                  <c:v>Concentration (ng/mL)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Linear (Conc)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'Plate 1 - 10 mins analyzed'!$Q$38:$Q$45</c:f>
              <c:numCache>
                <c:formatCode>General</c:formatCode>
                <c:ptCount val="8"/>
                <c:pt idx="0">
                  <c:v>1.5455714285714286</c:v>
                </c:pt>
                <c:pt idx="1">
                  <c:v>1.0755714285714286</c:v>
                </c:pt>
                <c:pt idx="2">
                  <c:v>0.65557142857142858</c:v>
                </c:pt>
                <c:pt idx="3">
                  <c:v>0.32257142857142856</c:v>
                </c:pt>
                <c:pt idx="4">
                  <c:v>0.17957142857142855</c:v>
                </c:pt>
                <c:pt idx="5">
                  <c:v>9.6571428571428572E-2</c:v>
                </c:pt>
                <c:pt idx="6">
                  <c:v>4.9571428571428572E-2</c:v>
                </c:pt>
                <c:pt idx="7">
                  <c:v>3.2571428571428571E-2</c:v>
                </c:pt>
              </c:numCache>
            </c:numRef>
          </c:xVal>
          <c:yVal>
            <c:numRef>
              <c:f>'Plate 1 - 10 mins analyzed'!$R$38:$R$45</c:f>
              <c:numCache>
                <c:formatCode>General</c:formatCode>
                <c:ptCount val="8"/>
                <c:pt idx="0">
                  <c:v>100</c:v>
                </c:pt>
                <c:pt idx="1">
                  <c:v>50</c:v>
                </c:pt>
                <c:pt idx="2">
                  <c:v>25</c:v>
                </c:pt>
                <c:pt idx="3">
                  <c:v>12.5</c:v>
                </c:pt>
                <c:pt idx="4">
                  <c:v>6.25</c:v>
                </c:pt>
                <c:pt idx="5">
                  <c:v>3.125</c:v>
                </c:pt>
                <c:pt idx="6">
                  <c:v>1.5625</c:v>
                </c:pt>
                <c:pt idx="7">
                  <c:v>0.78125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6-4440-8EC0-69B356CA1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553551"/>
        <c:axId val="2018554031"/>
      </c:scatterChart>
      <c:valAx>
        <c:axId val="2018553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554031"/>
        <c:crosses val="autoZero"/>
        <c:crossBetween val="midCat"/>
      </c:valAx>
      <c:valAx>
        <c:axId val="201855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553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32</xdr:row>
      <xdr:rowOff>0</xdr:rowOff>
    </xdr:from>
    <xdr:to>
      <xdr:col>26</xdr:col>
      <xdr:colOff>304800</xdr:colOff>
      <xdr:row>48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C0B825-968B-86B4-FC71-77700144C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3E939-86B1-4BE3-9F1A-4E986A838B25}">
  <sheetPr codeName="Sheet1"/>
  <dimension ref="A2:O36"/>
  <sheetViews>
    <sheetView workbookViewId="0">
      <selection activeCell="I52" sqref="I52"/>
    </sheetView>
  </sheetViews>
  <sheetFormatPr defaultColWidth="9.140625" defaultRowHeight="12.75" x14ac:dyDescent="0.2"/>
  <cols>
    <col min="1" max="1" width="27.5703125" style="1" bestFit="1" customWidth="1"/>
    <col min="2" max="2" width="12.7109375" style="1" customWidth="1"/>
    <col min="3" max="3" width="10.140625" style="1" bestFit="1" customWidth="1"/>
    <col min="4" max="5" width="11.5703125" style="1" bestFit="1" customWidth="1"/>
    <col min="6" max="6" width="9.140625" style="1"/>
    <col min="7" max="7" width="11.5703125" style="1" bestFit="1" customWidth="1"/>
    <col min="8" max="8" width="9.140625" style="1"/>
    <col min="9" max="10" width="11.5703125" style="1" bestFit="1" customWidth="1"/>
    <col min="11" max="16384" width="9.140625" style="1"/>
  </cols>
  <sheetData>
    <row r="2" spans="1:2" x14ac:dyDescent="0.2">
      <c r="A2" s="1" t="s">
        <v>0</v>
      </c>
      <c r="B2" s="1" t="s">
        <v>1</v>
      </c>
    </row>
    <row r="4" spans="1:2" x14ac:dyDescent="0.2">
      <c r="A4" s="1" t="s">
        <v>2</v>
      </c>
    </row>
    <row r="5" spans="1:2" x14ac:dyDescent="0.2">
      <c r="A5" s="1" t="s">
        <v>3</v>
      </c>
      <c r="B5" s="1" t="s">
        <v>4</v>
      </c>
    </row>
    <row r="6" spans="1:2" x14ac:dyDescent="0.2">
      <c r="A6" s="1" t="s">
        <v>5</v>
      </c>
      <c r="B6" s="1" t="s">
        <v>6</v>
      </c>
    </row>
    <row r="7" spans="1:2" x14ac:dyDescent="0.2">
      <c r="A7" s="1" t="s">
        <v>7</v>
      </c>
      <c r="B7" s="21">
        <v>45830</v>
      </c>
    </row>
    <row r="8" spans="1:2" x14ac:dyDescent="0.2">
      <c r="A8" s="1" t="s">
        <v>8</v>
      </c>
      <c r="B8" s="22">
        <v>0.71429398148148149</v>
      </c>
    </row>
    <row r="9" spans="1:2" x14ac:dyDescent="0.2">
      <c r="A9" s="1" t="s">
        <v>9</v>
      </c>
      <c r="B9" s="1" t="s">
        <v>10</v>
      </c>
    </row>
    <row r="10" spans="1:2" x14ac:dyDescent="0.2">
      <c r="A10" s="1" t="s">
        <v>11</v>
      </c>
      <c r="B10" s="1" t="s">
        <v>36</v>
      </c>
    </row>
    <row r="11" spans="1:2" x14ac:dyDescent="0.2">
      <c r="A11" s="1" t="s">
        <v>12</v>
      </c>
      <c r="B11" s="1" t="s">
        <v>13</v>
      </c>
    </row>
    <row r="13" spans="1:2" x14ac:dyDescent="0.2">
      <c r="A13" s="19" t="s">
        <v>14</v>
      </c>
      <c r="B13" s="20"/>
    </row>
    <row r="14" spans="1:2" x14ac:dyDescent="0.2">
      <c r="A14" s="1" t="s">
        <v>15</v>
      </c>
      <c r="B14" s="1" t="s">
        <v>16</v>
      </c>
    </row>
    <row r="15" spans="1:2" x14ac:dyDescent="0.2">
      <c r="A15" s="1" t="s">
        <v>17</v>
      </c>
    </row>
    <row r="16" spans="1:2" x14ac:dyDescent="0.2">
      <c r="A16" s="1" t="s">
        <v>18</v>
      </c>
      <c r="B16" s="1" t="s">
        <v>19</v>
      </c>
    </row>
    <row r="17" spans="1:15" x14ac:dyDescent="0.2">
      <c r="B17" s="1" t="s">
        <v>20</v>
      </c>
    </row>
    <row r="18" spans="1:15" x14ac:dyDescent="0.2">
      <c r="A18" s="1" t="s">
        <v>21</v>
      </c>
      <c r="B18" s="1" t="s">
        <v>22</v>
      </c>
    </row>
    <row r="19" spans="1:15" x14ac:dyDescent="0.2">
      <c r="B19" s="1" t="s">
        <v>23</v>
      </c>
    </row>
    <row r="20" spans="1:15" x14ac:dyDescent="0.2">
      <c r="B20" s="1" t="s">
        <v>24</v>
      </c>
    </row>
    <row r="21" spans="1:15" x14ac:dyDescent="0.2">
      <c r="B21" s="1" t="s">
        <v>25</v>
      </c>
    </row>
    <row r="23" spans="1:15" x14ac:dyDescent="0.2">
      <c r="A23" s="19" t="s">
        <v>26</v>
      </c>
      <c r="B23" s="20"/>
    </row>
    <row r="24" spans="1:15" x14ac:dyDescent="0.2">
      <c r="A24" s="1" t="s">
        <v>27</v>
      </c>
      <c r="B24" s="1">
        <v>25.1</v>
      </c>
    </row>
    <row r="26" spans="1:15" x14ac:dyDescent="0.2">
      <c r="A26" s="23"/>
      <c r="B26" s="2"/>
      <c r="C26" s="3">
        <v>1</v>
      </c>
      <c r="D26" s="3">
        <v>2</v>
      </c>
      <c r="E26" s="3">
        <v>3</v>
      </c>
      <c r="F26" s="3">
        <v>4</v>
      </c>
      <c r="G26" s="3">
        <v>5</v>
      </c>
      <c r="H26" s="3">
        <v>6</v>
      </c>
      <c r="I26" s="3">
        <v>7</v>
      </c>
      <c r="J26" s="3">
        <v>8</v>
      </c>
      <c r="K26" s="3">
        <v>9</v>
      </c>
      <c r="L26" s="3">
        <v>10</v>
      </c>
      <c r="M26" s="3">
        <v>11</v>
      </c>
      <c r="N26" s="3">
        <v>12</v>
      </c>
    </row>
    <row r="27" spans="1:15" x14ac:dyDescent="0.2">
      <c r="B27" s="3" t="s">
        <v>28</v>
      </c>
      <c r="C27" s="4">
        <v>6.5000000000000002E-2</v>
      </c>
      <c r="D27" s="12">
        <v>1.611</v>
      </c>
      <c r="E27" s="6">
        <v>2.331</v>
      </c>
      <c r="F27" s="6">
        <v>2.3090000000000002</v>
      </c>
      <c r="G27" s="6">
        <v>2.3639999999999999</v>
      </c>
      <c r="H27" s="6">
        <v>2.419</v>
      </c>
      <c r="I27" s="7">
        <v>2.4689999999999999</v>
      </c>
      <c r="J27" s="7">
        <v>2.5110000000000001</v>
      </c>
      <c r="K27" s="7">
        <v>2.5529999999999999</v>
      </c>
      <c r="L27" s="7">
        <v>2.621</v>
      </c>
      <c r="M27" s="7">
        <v>2.5880000000000001</v>
      </c>
      <c r="N27" s="6">
        <v>2.371</v>
      </c>
      <c r="O27" s="24">
        <v>405</v>
      </c>
    </row>
    <row r="28" spans="1:15" x14ac:dyDescent="0.2">
      <c r="B28" s="3" t="s">
        <v>29</v>
      </c>
      <c r="C28" s="4">
        <v>6.3E-2</v>
      </c>
      <c r="D28" s="14">
        <v>1.141</v>
      </c>
      <c r="E28" s="6">
        <v>2.2749999999999999</v>
      </c>
      <c r="F28" s="10">
        <v>2.2250000000000001</v>
      </c>
      <c r="G28" s="10">
        <v>2.1930000000000001</v>
      </c>
      <c r="H28" s="10">
        <v>2.2240000000000002</v>
      </c>
      <c r="I28" s="6">
        <v>2.2959999999999998</v>
      </c>
      <c r="J28" s="6">
        <v>2.427</v>
      </c>
      <c r="K28" s="6">
        <v>2.3940000000000001</v>
      </c>
      <c r="L28" s="7">
        <v>2.4729999999999999</v>
      </c>
      <c r="M28" s="7">
        <v>2.4870000000000001</v>
      </c>
      <c r="N28" s="6">
        <v>2.323</v>
      </c>
      <c r="O28" s="24">
        <v>405</v>
      </c>
    </row>
    <row r="29" spans="1:15" x14ac:dyDescent="0.2">
      <c r="B29" s="3" t="s">
        <v>30</v>
      </c>
      <c r="C29" s="4">
        <v>6.8000000000000005E-2</v>
      </c>
      <c r="D29" s="16">
        <v>0.72099999999999997</v>
      </c>
      <c r="E29" s="10">
        <v>2.23</v>
      </c>
      <c r="F29" s="10">
        <v>2.2029999999999998</v>
      </c>
      <c r="G29" s="5">
        <v>1.9350000000000001</v>
      </c>
      <c r="H29" s="5">
        <v>2.0489999999999999</v>
      </c>
      <c r="I29" s="5">
        <v>2.0230000000000001</v>
      </c>
      <c r="J29" s="6">
        <v>2.2989999999999999</v>
      </c>
      <c r="K29" s="6">
        <v>2.3090000000000002</v>
      </c>
      <c r="L29" s="6">
        <v>2.3260000000000001</v>
      </c>
      <c r="M29" s="6">
        <v>2.3780000000000001</v>
      </c>
      <c r="N29" s="6">
        <v>2.3149999999999999</v>
      </c>
      <c r="O29" s="24">
        <v>405</v>
      </c>
    </row>
    <row r="30" spans="1:15" x14ac:dyDescent="0.2">
      <c r="B30" s="3" t="s">
        <v>31</v>
      </c>
      <c r="C30" s="4">
        <v>6.5000000000000002E-2</v>
      </c>
      <c r="D30" s="13">
        <v>0.38800000000000001</v>
      </c>
      <c r="E30" s="5">
        <v>2.0609999999999999</v>
      </c>
      <c r="F30" s="15">
        <v>1.804</v>
      </c>
      <c r="G30" s="12">
        <v>1.538</v>
      </c>
      <c r="H30" s="12">
        <v>1.706</v>
      </c>
      <c r="I30" s="12">
        <v>1.5529999999999999</v>
      </c>
      <c r="J30" s="10">
        <v>2.254</v>
      </c>
      <c r="K30" s="10">
        <v>2.2250000000000001</v>
      </c>
      <c r="L30" s="10">
        <v>2.2469999999999999</v>
      </c>
      <c r="M30" s="6">
        <v>2.2970000000000002</v>
      </c>
      <c r="N30" s="10">
        <v>2.137</v>
      </c>
      <c r="O30" s="24">
        <v>405</v>
      </c>
    </row>
    <row r="31" spans="1:15" x14ac:dyDescent="0.2">
      <c r="B31" s="3" t="s">
        <v>32</v>
      </c>
      <c r="C31" s="4">
        <v>6.7000000000000004E-2</v>
      </c>
      <c r="D31" s="13">
        <v>0.245</v>
      </c>
      <c r="E31" s="12">
        <v>1.5509999999999999</v>
      </c>
      <c r="F31" s="8">
        <v>1.27</v>
      </c>
      <c r="G31" s="14">
        <v>1.1559999999999999</v>
      </c>
      <c r="H31" s="8">
        <v>1.18</v>
      </c>
      <c r="I31" s="14">
        <v>1.117</v>
      </c>
      <c r="J31" s="10">
        <v>2.0950000000000002</v>
      </c>
      <c r="K31" s="5">
        <v>1.972</v>
      </c>
      <c r="L31" s="5">
        <v>2.0659999999999998</v>
      </c>
      <c r="M31" s="10">
        <v>2.15</v>
      </c>
      <c r="N31" s="5">
        <v>2.0299999999999998</v>
      </c>
      <c r="O31" s="24">
        <v>405</v>
      </c>
    </row>
    <row r="32" spans="1:15" x14ac:dyDescent="0.2">
      <c r="B32" s="3" t="s">
        <v>33</v>
      </c>
      <c r="C32" s="4">
        <v>7.2999999999999995E-2</v>
      </c>
      <c r="D32" s="4">
        <v>0.16200000000000001</v>
      </c>
      <c r="E32" s="14">
        <v>1.111</v>
      </c>
      <c r="F32" s="9">
        <v>0.82799999999999996</v>
      </c>
      <c r="G32" s="16">
        <v>0.70099999999999996</v>
      </c>
      <c r="H32" s="9">
        <v>0.82199999999999995</v>
      </c>
      <c r="I32" s="16">
        <v>0.71599999999999997</v>
      </c>
      <c r="J32" s="12">
        <v>1.6870000000000001</v>
      </c>
      <c r="K32" s="12">
        <v>1.6879999999999999</v>
      </c>
      <c r="L32" s="12">
        <v>1.661</v>
      </c>
      <c r="M32" s="12">
        <v>1.6479999999999999</v>
      </c>
      <c r="N32" s="12">
        <v>1.613</v>
      </c>
      <c r="O32" s="24">
        <v>405</v>
      </c>
    </row>
    <row r="33" spans="2:15" x14ac:dyDescent="0.2">
      <c r="B33" s="3" t="s">
        <v>34</v>
      </c>
      <c r="C33" s="4">
        <v>6.5000000000000002E-2</v>
      </c>
      <c r="D33" s="4">
        <v>0.115</v>
      </c>
      <c r="E33" s="16">
        <v>0.66700000000000004</v>
      </c>
      <c r="F33" s="11">
        <v>0.52100000000000002</v>
      </c>
      <c r="G33" s="13">
        <v>0.38600000000000001</v>
      </c>
      <c r="H33" s="11">
        <v>0.48599999999999999</v>
      </c>
      <c r="I33" s="13">
        <v>0.41499999999999998</v>
      </c>
      <c r="J33" s="8">
        <v>1.21</v>
      </c>
      <c r="K33" s="14">
        <v>1.135</v>
      </c>
      <c r="L33" s="8">
        <v>1.2110000000000001</v>
      </c>
      <c r="M33" s="8">
        <v>1.2150000000000001</v>
      </c>
      <c r="N33" s="14">
        <v>1.1439999999999999</v>
      </c>
      <c r="O33" s="24">
        <v>405</v>
      </c>
    </row>
    <row r="34" spans="2:15" x14ac:dyDescent="0.2">
      <c r="B34" s="3" t="s">
        <v>35</v>
      </c>
      <c r="C34" s="4">
        <v>6.5000000000000002E-2</v>
      </c>
      <c r="D34" s="4">
        <v>9.8000000000000004E-2</v>
      </c>
      <c r="E34" s="13">
        <v>0.42099999999999999</v>
      </c>
      <c r="F34" s="13">
        <v>0.30399999999999999</v>
      </c>
      <c r="G34" s="13">
        <v>0.254</v>
      </c>
      <c r="H34" s="13">
        <v>0.309</v>
      </c>
      <c r="I34" s="13">
        <v>0.25800000000000001</v>
      </c>
      <c r="J34" s="9">
        <v>0.86599999999999999</v>
      </c>
      <c r="K34" s="9">
        <v>0.79900000000000004</v>
      </c>
      <c r="L34" s="9">
        <v>0.86</v>
      </c>
      <c r="M34" s="9">
        <v>0.80600000000000005</v>
      </c>
      <c r="N34" s="16">
        <v>0.73799999999999999</v>
      </c>
      <c r="O34" s="24">
        <v>405</v>
      </c>
    </row>
    <row r="36" spans="2:15" x14ac:dyDescent="0.2">
      <c r="B36" s="17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</row>
  </sheetData>
  <pageMargins left="0.75" right="0.75" top="1" bottom="1" header="0.5" footer="0.5"/>
  <pageSetup orientation="portrait" horizontalDpi="4294967293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F1662-F97E-46F9-A40B-D47904C9A011}">
  <sheetPr codeName="Sheet2"/>
  <dimension ref="A2:T81"/>
  <sheetViews>
    <sheetView tabSelected="1" workbookViewId="0">
      <selection activeCell="D81" sqref="D81"/>
    </sheetView>
  </sheetViews>
  <sheetFormatPr defaultColWidth="9.140625" defaultRowHeight="12.75" x14ac:dyDescent="0.2"/>
  <cols>
    <col min="1" max="1" width="27.5703125" style="1" bestFit="1" customWidth="1"/>
    <col min="2" max="2" width="12.7109375" style="1" customWidth="1"/>
    <col min="3" max="3" width="10.140625" style="1" bestFit="1" customWidth="1"/>
    <col min="4" max="5" width="11.5703125" style="1" bestFit="1" customWidth="1"/>
    <col min="6" max="6" width="9.140625" style="1"/>
    <col min="7" max="7" width="11.5703125" style="1" bestFit="1" customWidth="1"/>
    <col min="8" max="8" width="9.140625" style="1"/>
    <col min="9" max="10" width="11.5703125" style="1" bestFit="1" customWidth="1"/>
    <col min="11" max="16" width="9.140625" style="1"/>
    <col min="17" max="17" width="26.140625" style="1" bestFit="1" customWidth="1"/>
    <col min="18" max="18" width="19.5703125" style="1" bestFit="1" customWidth="1"/>
    <col min="19" max="19" width="11" style="1" bestFit="1" customWidth="1"/>
    <col min="20" max="16384" width="9.140625" style="1"/>
  </cols>
  <sheetData>
    <row r="2" spans="1:2" x14ac:dyDescent="0.2">
      <c r="A2" s="25" t="s">
        <v>0</v>
      </c>
      <c r="B2" s="25" t="s">
        <v>1</v>
      </c>
    </row>
    <row r="4" spans="1:2" x14ac:dyDescent="0.2">
      <c r="A4" s="25" t="s">
        <v>2</v>
      </c>
    </row>
    <row r="5" spans="1:2" x14ac:dyDescent="0.2">
      <c r="A5" s="25" t="s">
        <v>3</v>
      </c>
      <c r="B5" s="25" t="s">
        <v>4</v>
      </c>
    </row>
    <row r="6" spans="1:2" x14ac:dyDescent="0.2">
      <c r="A6" s="25" t="s">
        <v>5</v>
      </c>
      <c r="B6" s="25" t="s">
        <v>6</v>
      </c>
    </row>
    <row r="7" spans="1:2" x14ac:dyDescent="0.2">
      <c r="A7" s="25" t="s">
        <v>7</v>
      </c>
      <c r="B7" s="26">
        <v>45830</v>
      </c>
    </row>
    <row r="8" spans="1:2" x14ac:dyDescent="0.2">
      <c r="A8" s="25" t="s">
        <v>8</v>
      </c>
      <c r="B8" s="27">
        <v>0.71429398148148149</v>
      </c>
    </row>
    <row r="9" spans="1:2" x14ac:dyDescent="0.2">
      <c r="A9" s="25" t="s">
        <v>9</v>
      </c>
      <c r="B9" s="25" t="s">
        <v>10</v>
      </c>
    </row>
    <row r="10" spans="1:2" x14ac:dyDescent="0.2">
      <c r="A10" s="25" t="s">
        <v>11</v>
      </c>
      <c r="B10" s="25" t="s">
        <v>36</v>
      </c>
    </row>
    <row r="11" spans="1:2" x14ac:dyDescent="0.2">
      <c r="A11" s="25" t="s">
        <v>12</v>
      </c>
      <c r="B11" s="25" t="s">
        <v>13</v>
      </c>
    </row>
    <row r="13" spans="1:2" x14ac:dyDescent="0.2">
      <c r="A13" s="28" t="s">
        <v>14</v>
      </c>
      <c r="B13" s="20"/>
    </row>
    <row r="14" spans="1:2" x14ac:dyDescent="0.2">
      <c r="A14" s="25" t="s">
        <v>15</v>
      </c>
      <c r="B14" s="25" t="s">
        <v>16</v>
      </c>
    </row>
    <row r="15" spans="1:2" x14ac:dyDescent="0.2">
      <c r="A15" s="25" t="s">
        <v>17</v>
      </c>
    </row>
    <row r="16" spans="1:2" x14ac:dyDescent="0.2">
      <c r="A16" s="25" t="s">
        <v>18</v>
      </c>
      <c r="B16" s="25" t="s">
        <v>19</v>
      </c>
    </row>
    <row r="17" spans="1:20" x14ac:dyDescent="0.2">
      <c r="B17" s="25" t="s">
        <v>20</v>
      </c>
    </row>
    <row r="18" spans="1:20" x14ac:dyDescent="0.2">
      <c r="A18" s="25" t="s">
        <v>21</v>
      </c>
      <c r="B18" s="25" t="s">
        <v>22</v>
      </c>
    </row>
    <row r="19" spans="1:20" x14ac:dyDescent="0.2">
      <c r="B19" s="25" t="s">
        <v>23</v>
      </c>
    </row>
    <row r="20" spans="1:20" x14ac:dyDescent="0.2">
      <c r="B20" s="25" t="s">
        <v>24</v>
      </c>
    </row>
    <row r="21" spans="1:20" x14ac:dyDescent="0.2">
      <c r="B21" s="25" t="s">
        <v>25</v>
      </c>
    </row>
    <row r="23" spans="1:20" x14ac:dyDescent="0.2">
      <c r="A23" s="28" t="s">
        <v>26</v>
      </c>
      <c r="B23" s="20"/>
    </row>
    <row r="24" spans="1:20" x14ac:dyDescent="0.2">
      <c r="A24" s="25" t="s">
        <v>27</v>
      </c>
      <c r="B24" s="25">
        <v>25.1</v>
      </c>
    </row>
    <row r="25" spans="1:20" x14ac:dyDescent="0.2">
      <c r="Q25" s="25" t="s">
        <v>38</v>
      </c>
    </row>
    <row r="26" spans="1:20" x14ac:dyDescent="0.2">
      <c r="A26" s="25" t="s">
        <v>37</v>
      </c>
      <c r="B26" s="2"/>
      <c r="C26" s="3">
        <v>1</v>
      </c>
      <c r="D26" s="3">
        <v>2</v>
      </c>
      <c r="E26" s="3">
        <v>3</v>
      </c>
      <c r="F26" s="3">
        <v>4</v>
      </c>
      <c r="G26" s="3">
        <v>5</v>
      </c>
      <c r="H26" s="3">
        <v>6</v>
      </c>
      <c r="I26" s="3">
        <v>7</v>
      </c>
      <c r="J26" s="3">
        <v>8</v>
      </c>
      <c r="K26" s="3">
        <v>9</v>
      </c>
      <c r="L26" s="3">
        <v>10</v>
      </c>
      <c r="M26" s="3">
        <v>11</v>
      </c>
      <c r="N26" s="3">
        <v>12</v>
      </c>
      <c r="Q26" s="25" t="s">
        <v>39</v>
      </c>
      <c r="R26" s="25">
        <f>_xlfn.QUARTILE.INC(C27:C34,1)</f>
        <v>6.5000000000000002E-2</v>
      </c>
      <c r="S26" s="25" t="s">
        <v>44</v>
      </c>
      <c r="T26" s="25">
        <f>AVERAGEIFS(C27:C34,C27:C34,"&gt;="&amp;R29,C27:C34,"&lt;="&amp;R30)</f>
        <v>6.5428571428571433E-2</v>
      </c>
    </row>
    <row r="27" spans="1:20" x14ac:dyDescent="0.2">
      <c r="B27" s="3" t="s">
        <v>28</v>
      </c>
      <c r="C27" s="4">
        <v>6.5000000000000002E-2</v>
      </c>
      <c r="D27" s="12">
        <v>1.611</v>
      </c>
      <c r="E27" s="6">
        <v>2.331</v>
      </c>
      <c r="F27" s="6">
        <v>2.3090000000000002</v>
      </c>
      <c r="G27" s="6">
        <v>2.3639999999999999</v>
      </c>
      <c r="H27" s="6">
        <v>2.419</v>
      </c>
      <c r="I27" s="7">
        <v>2.4689999999999999</v>
      </c>
      <c r="J27" s="7">
        <v>2.5110000000000001</v>
      </c>
      <c r="K27" s="7">
        <v>2.5529999999999999</v>
      </c>
      <c r="L27" s="7">
        <v>2.621</v>
      </c>
      <c r="M27" s="7">
        <v>2.5880000000000001</v>
      </c>
      <c r="N27" s="6">
        <v>2.371</v>
      </c>
      <c r="O27" s="29">
        <v>405</v>
      </c>
      <c r="Q27" s="25" t="s">
        <v>40</v>
      </c>
      <c r="R27" s="25">
        <f>_xlfn.QUARTILE.INC(C27:C34,3)</f>
        <v>6.7250000000000004E-2</v>
      </c>
    </row>
    <row r="28" spans="1:20" x14ac:dyDescent="0.2">
      <c r="B28" s="3" t="s">
        <v>29</v>
      </c>
      <c r="C28" s="4">
        <v>6.3E-2</v>
      </c>
      <c r="D28" s="14">
        <v>1.141</v>
      </c>
      <c r="E28" s="6">
        <v>2.2749999999999999</v>
      </c>
      <c r="F28" s="10">
        <v>2.2250000000000001</v>
      </c>
      <c r="G28" s="10">
        <v>2.1930000000000001</v>
      </c>
      <c r="H28" s="10">
        <v>2.2240000000000002</v>
      </c>
      <c r="I28" s="6">
        <v>2.2959999999999998</v>
      </c>
      <c r="J28" s="6">
        <v>2.427</v>
      </c>
      <c r="K28" s="6">
        <v>2.3940000000000001</v>
      </c>
      <c r="L28" s="7">
        <v>2.4729999999999999</v>
      </c>
      <c r="M28" s="7">
        <v>2.4870000000000001</v>
      </c>
      <c r="N28" s="6">
        <v>2.323</v>
      </c>
      <c r="O28" s="29">
        <v>405</v>
      </c>
      <c r="Q28" s="25" t="s">
        <v>41</v>
      </c>
      <c r="R28" s="25">
        <f>R27-R26</f>
        <v>2.250000000000002E-3</v>
      </c>
    </row>
    <row r="29" spans="1:20" x14ac:dyDescent="0.2">
      <c r="B29" s="3" t="s">
        <v>30</v>
      </c>
      <c r="C29" s="4">
        <v>6.8000000000000005E-2</v>
      </c>
      <c r="D29" s="16">
        <v>0.72099999999999997</v>
      </c>
      <c r="E29" s="10">
        <v>2.23</v>
      </c>
      <c r="F29" s="10">
        <v>2.2029999999999998</v>
      </c>
      <c r="G29" s="5">
        <v>1.9350000000000001</v>
      </c>
      <c r="H29" s="5">
        <v>2.0489999999999999</v>
      </c>
      <c r="I29" s="5">
        <v>2.0230000000000001</v>
      </c>
      <c r="J29" s="6">
        <v>2.2989999999999999</v>
      </c>
      <c r="K29" s="6">
        <v>2.3090000000000002</v>
      </c>
      <c r="L29" s="6">
        <v>2.3260000000000001</v>
      </c>
      <c r="M29" s="6">
        <v>2.3780000000000001</v>
      </c>
      <c r="N29" s="6">
        <v>2.3149999999999999</v>
      </c>
      <c r="O29" s="29">
        <v>405</v>
      </c>
      <c r="Q29" s="25" t="s">
        <v>42</v>
      </c>
      <c r="R29" s="25">
        <f>R26-(1.5*R28)</f>
        <v>6.1624999999999999E-2</v>
      </c>
    </row>
    <row r="30" spans="1:20" x14ac:dyDescent="0.2">
      <c r="B30" s="3" t="s">
        <v>31</v>
      </c>
      <c r="C30" s="4">
        <v>6.5000000000000002E-2</v>
      </c>
      <c r="D30" s="13">
        <v>0.38800000000000001</v>
      </c>
      <c r="E30" s="5">
        <v>2.0609999999999999</v>
      </c>
      <c r="F30" s="15">
        <v>1.804</v>
      </c>
      <c r="G30" s="12">
        <v>1.538</v>
      </c>
      <c r="H30" s="12">
        <v>1.706</v>
      </c>
      <c r="I30" s="12">
        <v>1.5529999999999999</v>
      </c>
      <c r="J30" s="10">
        <v>2.254</v>
      </c>
      <c r="K30" s="10">
        <v>2.2250000000000001</v>
      </c>
      <c r="L30" s="10">
        <v>2.2469999999999999</v>
      </c>
      <c r="M30" s="6">
        <v>2.2970000000000002</v>
      </c>
      <c r="N30" s="10">
        <v>2.137</v>
      </c>
      <c r="O30" s="29">
        <v>405</v>
      </c>
      <c r="Q30" s="25" t="s">
        <v>43</v>
      </c>
      <c r="R30" s="25">
        <f>R27+(1.5*R28)</f>
        <v>7.0625000000000007E-2</v>
      </c>
    </row>
    <row r="31" spans="1:20" x14ac:dyDescent="0.2">
      <c r="B31" s="3" t="s">
        <v>32</v>
      </c>
      <c r="C31" s="4">
        <v>6.7000000000000004E-2</v>
      </c>
      <c r="D31" s="13">
        <v>0.245</v>
      </c>
      <c r="E31" s="12">
        <v>1.5509999999999999</v>
      </c>
      <c r="F31" s="8">
        <v>1.27</v>
      </c>
      <c r="G31" s="14">
        <v>1.1559999999999999</v>
      </c>
      <c r="H31" s="8">
        <v>1.18</v>
      </c>
      <c r="I31" s="14">
        <v>1.117</v>
      </c>
      <c r="J31" s="10">
        <v>2.0950000000000002</v>
      </c>
      <c r="K31" s="5">
        <v>1.972</v>
      </c>
      <c r="L31" s="5">
        <v>2.0659999999999998</v>
      </c>
      <c r="M31" s="10">
        <v>2.15</v>
      </c>
      <c r="N31" s="5">
        <v>2.0299999999999998</v>
      </c>
      <c r="O31" s="29">
        <v>405</v>
      </c>
    </row>
    <row r="32" spans="1:20" x14ac:dyDescent="0.2">
      <c r="B32" s="3" t="s">
        <v>33</v>
      </c>
      <c r="C32" s="4">
        <v>7.2999999999999995E-2</v>
      </c>
      <c r="D32" s="4">
        <v>0.16200000000000001</v>
      </c>
      <c r="E32" s="14">
        <v>1.111</v>
      </c>
      <c r="F32" s="9">
        <v>0.82799999999999996</v>
      </c>
      <c r="G32" s="16">
        <v>0.70099999999999996</v>
      </c>
      <c r="H32" s="9">
        <v>0.82199999999999995</v>
      </c>
      <c r="I32" s="16">
        <v>0.71599999999999997</v>
      </c>
      <c r="J32" s="12">
        <v>1.6870000000000001</v>
      </c>
      <c r="K32" s="12">
        <v>1.6879999999999999</v>
      </c>
      <c r="L32" s="12">
        <v>1.661</v>
      </c>
      <c r="M32" s="12">
        <v>1.6479999999999999</v>
      </c>
      <c r="N32" s="12">
        <v>1.613</v>
      </c>
      <c r="O32" s="29">
        <v>405</v>
      </c>
    </row>
    <row r="33" spans="1:18" x14ac:dyDescent="0.2">
      <c r="B33" s="3" t="s">
        <v>34</v>
      </c>
      <c r="C33" s="4">
        <v>6.5000000000000002E-2</v>
      </c>
      <c r="D33" s="4">
        <v>0.115</v>
      </c>
      <c r="E33" s="16">
        <v>0.66700000000000004</v>
      </c>
      <c r="F33" s="11">
        <v>0.52100000000000002</v>
      </c>
      <c r="G33" s="13">
        <v>0.38600000000000001</v>
      </c>
      <c r="H33" s="11">
        <v>0.48599999999999999</v>
      </c>
      <c r="I33" s="13">
        <v>0.41499999999999998</v>
      </c>
      <c r="J33" s="8">
        <v>1.21</v>
      </c>
      <c r="K33" s="14">
        <v>1.135</v>
      </c>
      <c r="L33" s="8">
        <v>1.2110000000000001</v>
      </c>
      <c r="M33" s="8">
        <v>1.2150000000000001</v>
      </c>
      <c r="N33" s="14">
        <v>1.1439999999999999</v>
      </c>
      <c r="O33" s="29">
        <v>405</v>
      </c>
    </row>
    <row r="34" spans="1:18" x14ac:dyDescent="0.2">
      <c r="B34" s="3" t="s">
        <v>35</v>
      </c>
      <c r="C34" s="4">
        <v>6.5000000000000002E-2</v>
      </c>
      <c r="D34" s="4">
        <v>9.8000000000000004E-2</v>
      </c>
      <c r="E34" s="13">
        <v>0.42099999999999999</v>
      </c>
      <c r="F34" s="13">
        <v>0.30399999999999999</v>
      </c>
      <c r="G34" s="13">
        <v>0.254</v>
      </c>
      <c r="H34" s="13">
        <v>0.309</v>
      </c>
      <c r="I34" s="13">
        <v>0.25800000000000001</v>
      </c>
      <c r="J34" s="9">
        <v>0.86599999999999999</v>
      </c>
      <c r="K34" s="9">
        <v>0.79900000000000004</v>
      </c>
      <c r="L34" s="9">
        <v>0.86</v>
      </c>
      <c r="M34" s="9">
        <v>0.80600000000000005</v>
      </c>
      <c r="N34" s="16">
        <v>0.73799999999999999</v>
      </c>
      <c r="O34" s="29">
        <v>405</v>
      </c>
    </row>
    <row r="36" spans="1:18" x14ac:dyDescent="0.2">
      <c r="B36" s="17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Q36" s="25" t="s">
        <v>46</v>
      </c>
    </row>
    <row r="37" spans="1:18" x14ac:dyDescent="0.2">
      <c r="A37" s="25" t="s">
        <v>45</v>
      </c>
      <c r="B37" s="2"/>
      <c r="C37" s="3">
        <v>1</v>
      </c>
      <c r="D37" s="3">
        <v>2</v>
      </c>
      <c r="E37" s="3">
        <v>3</v>
      </c>
      <c r="F37" s="3">
        <v>4</v>
      </c>
      <c r="G37" s="3">
        <v>5</v>
      </c>
      <c r="H37" s="3">
        <v>6</v>
      </c>
      <c r="I37" s="3">
        <v>7</v>
      </c>
      <c r="J37" s="3">
        <v>8</v>
      </c>
      <c r="K37" s="3">
        <v>9</v>
      </c>
      <c r="L37" s="3">
        <v>10</v>
      </c>
      <c r="M37" s="3">
        <v>11</v>
      </c>
      <c r="N37" s="3">
        <v>12</v>
      </c>
      <c r="Q37" s="25" t="s">
        <v>47</v>
      </c>
      <c r="R37" s="25" t="s">
        <v>48</v>
      </c>
    </row>
    <row r="38" spans="1:18" x14ac:dyDescent="0.2">
      <c r="B38" s="3" t="s">
        <v>28</v>
      </c>
      <c r="D38" s="25">
        <f t="shared" ref="D38:N38" si="0">D27-$T$26</f>
        <v>1.5455714285714286</v>
      </c>
      <c r="Q38" s="25">
        <f>D38</f>
        <v>1.5455714285714286</v>
      </c>
      <c r="R38" s="25">
        <v>100</v>
      </c>
    </row>
    <row r="39" spans="1:18" x14ac:dyDescent="0.2">
      <c r="B39" s="3" t="s">
        <v>29</v>
      </c>
      <c r="D39" s="25">
        <f t="shared" ref="C39:N45" si="1">D28-$T$26</f>
        <v>1.0755714285714286</v>
      </c>
      <c r="Q39" s="25">
        <f t="shared" ref="Q39:Q45" si="2">D39</f>
        <v>1.0755714285714286</v>
      </c>
      <c r="R39" s="25">
        <f>R38/2</f>
        <v>50</v>
      </c>
    </row>
    <row r="40" spans="1:18" x14ac:dyDescent="0.2">
      <c r="B40" s="3" t="s">
        <v>30</v>
      </c>
      <c r="D40" s="25">
        <f t="shared" si="1"/>
        <v>0.65557142857142858</v>
      </c>
      <c r="Q40" s="25">
        <f t="shared" si="2"/>
        <v>0.65557142857142858</v>
      </c>
      <c r="R40" s="25">
        <f t="shared" ref="R40:R45" si="3">R39/2</f>
        <v>25</v>
      </c>
    </row>
    <row r="41" spans="1:18" x14ac:dyDescent="0.2">
      <c r="B41" s="3" t="s">
        <v>31</v>
      </c>
      <c r="D41" s="25">
        <f t="shared" si="1"/>
        <v>0.32257142857142856</v>
      </c>
      <c r="G41" s="25">
        <f t="shared" si="1"/>
        <v>1.4725714285714286</v>
      </c>
      <c r="I41" s="25">
        <f t="shared" si="1"/>
        <v>1.4875714285714285</v>
      </c>
      <c r="Q41" s="25">
        <f t="shared" si="2"/>
        <v>0.32257142857142856</v>
      </c>
      <c r="R41" s="25">
        <f t="shared" si="3"/>
        <v>12.5</v>
      </c>
    </row>
    <row r="42" spans="1:18" x14ac:dyDescent="0.2">
      <c r="B42" s="3" t="s">
        <v>32</v>
      </c>
      <c r="D42" s="25">
        <f t="shared" si="1"/>
        <v>0.17957142857142855</v>
      </c>
      <c r="E42" s="25">
        <f t="shared" si="1"/>
        <v>1.4855714285714285</v>
      </c>
      <c r="F42" s="25">
        <f t="shared" si="1"/>
        <v>1.2045714285714286</v>
      </c>
      <c r="G42" s="25">
        <f t="shared" si="1"/>
        <v>1.0905714285714285</v>
      </c>
      <c r="H42" s="25">
        <f t="shared" si="1"/>
        <v>1.1145714285714285</v>
      </c>
      <c r="I42" s="25">
        <f t="shared" si="1"/>
        <v>1.0515714285714286</v>
      </c>
      <c r="Q42" s="25">
        <f t="shared" si="2"/>
        <v>0.17957142857142855</v>
      </c>
      <c r="R42" s="25">
        <f t="shared" si="3"/>
        <v>6.25</v>
      </c>
    </row>
    <row r="43" spans="1:18" x14ac:dyDescent="0.2">
      <c r="B43" s="3" t="s">
        <v>33</v>
      </c>
      <c r="D43" s="25">
        <f t="shared" si="1"/>
        <v>9.6571428571428572E-2</v>
      </c>
      <c r="E43" s="25">
        <f t="shared" si="1"/>
        <v>1.0455714285714286</v>
      </c>
      <c r="F43" s="25">
        <f t="shared" si="1"/>
        <v>0.76257142857142857</v>
      </c>
      <c r="G43" s="25">
        <f t="shared" si="1"/>
        <v>0.63557142857142856</v>
      </c>
      <c r="H43" s="25">
        <f t="shared" si="1"/>
        <v>0.75657142857142856</v>
      </c>
      <c r="I43" s="25">
        <f t="shared" si="1"/>
        <v>0.65057142857142858</v>
      </c>
      <c r="Q43" s="25">
        <f t="shared" si="2"/>
        <v>9.6571428571428572E-2</v>
      </c>
      <c r="R43" s="25">
        <f t="shared" si="3"/>
        <v>3.125</v>
      </c>
    </row>
    <row r="44" spans="1:18" x14ac:dyDescent="0.2">
      <c r="B44" s="3" t="s">
        <v>34</v>
      </c>
      <c r="D44" s="25">
        <f t="shared" si="1"/>
        <v>4.9571428571428572E-2</v>
      </c>
      <c r="E44" s="25">
        <f t="shared" si="1"/>
        <v>0.60157142857142865</v>
      </c>
      <c r="F44" s="25">
        <f t="shared" si="1"/>
        <v>0.45557142857142857</v>
      </c>
      <c r="G44" s="25">
        <f t="shared" si="1"/>
        <v>0.32057142857142856</v>
      </c>
      <c r="H44" s="25">
        <f t="shared" si="1"/>
        <v>0.42057142857142854</v>
      </c>
      <c r="I44" s="25">
        <f t="shared" si="1"/>
        <v>0.34957142857142853</v>
      </c>
      <c r="J44" s="25">
        <f t="shared" si="1"/>
        <v>1.1445714285714286</v>
      </c>
      <c r="K44" s="25">
        <f t="shared" si="1"/>
        <v>1.0695714285714286</v>
      </c>
      <c r="L44" s="25">
        <f t="shared" si="1"/>
        <v>1.1455714285714287</v>
      </c>
      <c r="M44" s="25">
        <f t="shared" si="1"/>
        <v>1.1495714285714287</v>
      </c>
      <c r="N44" s="25">
        <f t="shared" si="1"/>
        <v>1.0785714285714285</v>
      </c>
      <c r="Q44" s="25">
        <f t="shared" si="2"/>
        <v>4.9571428571428572E-2</v>
      </c>
      <c r="R44" s="25">
        <f t="shared" si="3"/>
        <v>1.5625</v>
      </c>
    </row>
    <row r="45" spans="1:18" x14ac:dyDescent="0.2">
      <c r="B45" s="3" t="s">
        <v>35</v>
      </c>
      <c r="D45" s="25">
        <f t="shared" si="1"/>
        <v>3.2571428571428571E-2</v>
      </c>
      <c r="E45" s="25">
        <f t="shared" si="1"/>
        <v>0.35557142857142854</v>
      </c>
      <c r="F45" s="25">
        <f t="shared" si="1"/>
        <v>0.23857142857142855</v>
      </c>
      <c r="G45" s="25">
        <f t="shared" si="1"/>
        <v>0.18857142857142856</v>
      </c>
      <c r="H45" s="25">
        <f t="shared" si="1"/>
        <v>0.24357142857142855</v>
      </c>
      <c r="I45" s="25">
        <f t="shared" si="1"/>
        <v>0.19257142857142856</v>
      </c>
      <c r="J45" s="25">
        <f t="shared" si="1"/>
        <v>0.8005714285714286</v>
      </c>
      <c r="K45" s="25">
        <f t="shared" si="1"/>
        <v>0.73357142857142865</v>
      </c>
      <c r="L45" s="25">
        <f t="shared" si="1"/>
        <v>0.7945714285714286</v>
      </c>
      <c r="M45" s="25">
        <f t="shared" si="1"/>
        <v>0.74057142857142866</v>
      </c>
      <c r="N45" s="25">
        <f t="shared" si="1"/>
        <v>0.6725714285714286</v>
      </c>
      <c r="Q45" s="25">
        <f t="shared" si="2"/>
        <v>3.2571428571428571E-2</v>
      </c>
      <c r="R45" s="25">
        <f t="shared" si="3"/>
        <v>0.78125</v>
      </c>
    </row>
    <row r="47" spans="1:18" x14ac:dyDescent="0.2">
      <c r="Q47" s="25" t="s">
        <v>49</v>
      </c>
      <c r="R47" s="25" t="s">
        <v>50</v>
      </c>
    </row>
    <row r="48" spans="1:18" x14ac:dyDescent="0.2">
      <c r="A48" s="25" t="s">
        <v>51</v>
      </c>
      <c r="B48" s="2"/>
      <c r="C48" s="3">
        <v>1</v>
      </c>
      <c r="D48" s="3">
        <v>2</v>
      </c>
      <c r="E48" s="3">
        <v>3</v>
      </c>
      <c r="F48" s="3">
        <v>4</v>
      </c>
      <c r="G48" s="3">
        <v>5</v>
      </c>
      <c r="H48" s="3">
        <v>6</v>
      </c>
      <c r="I48" s="3">
        <v>7</v>
      </c>
      <c r="J48" s="3">
        <v>8</v>
      </c>
      <c r="K48" s="3">
        <v>9</v>
      </c>
      <c r="L48" s="3">
        <v>10</v>
      </c>
      <c r="M48" s="3">
        <v>11</v>
      </c>
      <c r="N48" s="3">
        <v>12</v>
      </c>
      <c r="Q48" s="25" cm="1">
        <f t="array" ref="Q48:R48">LINEST(R38:R45,Q38:Q45)</f>
        <v>60.796327823179247</v>
      </c>
      <c r="R48" s="25">
        <v>-5.1733824943845441</v>
      </c>
    </row>
    <row r="49" spans="1:14" x14ac:dyDescent="0.2">
      <c r="B49" s="3" t="s">
        <v>28</v>
      </c>
      <c r="D49" s="25">
        <f t="shared" ref="D49:N49" si="4">$Q$48*D38+$R$48</f>
        <v>88.791684751183496</v>
      </c>
    </row>
    <row r="50" spans="1:14" x14ac:dyDescent="0.2">
      <c r="B50" s="3" t="s">
        <v>29</v>
      </c>
      <c r="D50" s="25">
        <f t="shared" ref="C50:N56" si="5">$Q$48*D39+$R$48</f>
        <v>60.217410674289255</v>
      </c>
    </row>
    <row r="51" spans="1:14" x14ac:dyDescent="0.2">
      <c r="B51" s="3" t="s">
        <v>30</v>
      </c>
      <c r="D51" s="25">
        <f t="shared" si="5"/>
        <v>34.682952988553964</v>
      </c>
    </row>
    <row r="52" spans="1:14" x14ac:dyDescent="0.2">
      <c r="B52" s="3" t="s">
        <v>31</v>
      </c>
      <c r="D52" s="25">
        <f t="shared" si="5"/>
        <v>14.437775823435274</v>
      </c>
      <c r="G52" s="25">
        <f t="shared" si="5"/>
        <v>84.353552820091423</v>
      </c>
      <c r="I52" s="25">
        <f t="shared" si="5"/>
        <v>85.265497737439105</v>
      </c>
    </row>
    <row r="53" spans="1:14" x14ac:dyDescent="0.2">
      <c r="B53" s="3" t="s">
        <v>32</v>
      </c>
      <c r="D53" s="25">
        <f t="shared" si="5"/>
        <v>5.7439009447206431</v>
      </c>
      <c r="E53" s="25">
        <f t="shared" si="5"/>
        <v>85.143905081792738</v>
      </c>
      <c r="F53" s="25">
        <f t="shared" si="5"/>
        <v>68.06013696347938</v>
      </c>
      <c r="G53" s="25">
        <f t="shared" si="5"/>
        <v>61.129355591636937</v>
      </c>
      <c r="H53" s="25">
        <f t="shared" si="5"/>
        <v>62.588467459393243</v>
      </c>
      <c r="I53" s="25">
        <f t="shared" si="5"/>
        <v>58.758298806532949</v>
      </c>
    </row>
    <row r="54" spans="1:14" x14ac:dyDescent="0.2">
      <c r="B54" s="3" t="s">
        <v>33</v>
      </c>
      <c r="D54" s="25">
        <f t="shared" si="5"/>
        <v>0.69780573539676638</v>
      </c>
      <c r="E54" s="25">
        <f t="shared" si="5"/>
        <v>58.393520839593876</v>
      </c>
      <c r="F54" s="25">
        <f t="shared" si="5"/>
        <v>41.18816006563415</v>
      </c>
      <c r="G54" s="25">
        <f t="shared" si="5"/>
        <v>33.467026432090378</v>
      </c>
      <c r="H54" s="25">
        <f t="shared" si="5"/>
        <v>40.823382098695063</v>
      </c>
      <c r="I54" s="25">
        <f t="shared" si="5"/>
        <v>34.378971349438075</v>
      </c>
    </row>
    <row r="55" spans="1:14" x14ac:dyDescent="0.2">
      <c r="B55" s="3" t="s">
        <v>34</v>
      </c>
      <c r="E55" s="25">
        <f t="shared" si="5"/>
        <v>31.39995128610229</v>
      </c>
      <c r="F55" s="25">
        <f t="shared" si="5"/>
        <v>22.523687423918116</v>
      </c>
      <c r="G55" s="25">
        <f t="shared" si="5"/>
        <v>14.316183167788918</v>
      </c>
      <c r="H55" s="25">
        <f t="shared" si="5"/>
        <v>20.39581595010684</v>
      </c>
      <c r="I55" s="25">
        <f t="shared" si="5"/>
        <v>16.079276674661113</v>
      </c>
      <c r="J55" s="25">
        <f t="shared" si="5"/>
        <v>64.412357294088622</v>
      </c>
      <c r="K55" s="25">
        <f t="shared" si="5"/>
        <v>59.852632707350182</v>
      </c>
      <c r="L55" s="25">
        <f t="shared" si="5"/>
        <v>64.473153621911806</v>
      </c>
      <c r="M55" s="25">
        <f t="shared" si="5"/>
        <v>64.716338933204526</v>
      </c>
      <c r="N55" s="25">
        <f t="shared" si="5"/>
        <v>60.399799657758791</v>
      </c>
    </row>
    <row r="56" spans="1:14" x14ac:dyDescent="0.2">
      <c r="B56" s="3" t="s">
        <v>35</v>
      </c>
      <c r="E56" s="25">
        <f t="shared" si="5"/>
        <v>16.444054641600189</v>
      </c>
      <c r="F56" s="25">
        <f t="shared" si="5"/>
        <v>9.3308842862882173</v>
      </c>
      <c r="G56" s="25">
        <f t="shared" si="5"/>
        <v>6.291067895129256</v>
      </c>
      <c r="H56" s="25">
        <f t="shared" si="5"/>
        <v>9.6348659254041138</v>
      </c>
      <c r="I56" s="25">
        <f t="shared" si="5"/>
        <v>6.5342532064219725</v>
      </c>
      <c r="J56" s="25">
        <f t="shared" si="5"/>
        <v>43.498420522914955</v>
      </c>
      <c r="K56" s="25">
        <f t="shared" si="5"/>
        <v>39.425066558761955</v>
      </c>
      <c r="L56" s="25">
        <f t="shared" si="5"/>
        <v>43.133642555975882</v>
      </c>
      <c r="M56" s="25">
        <f t="shared" si="5"/>
        <v>39.850640853524212</v>
      </c>
      <c r="N56" s="25">
        <f t="shared" si="5"/>
        <v>35.716490561548014</v>
      </c>
    </row>
    <row r="59" spans="1:14" x14ac:dyDescent="0.2">
      <c r="A59" s="25" t="s">
        <v>52</v>
      </c>
      <c r="B59" s="2"/>
      <c r="C59" s="3">
        <v>1</v>
      </c>
      <c r="D59" s="3">
        <v>2</v>
      </c>
      <c r="E59" s="3">
        <v>3</v>
      </c>
      <c r="F59" s="3">
        <v>4</v>
      </c>
      <c r="G59" s="3">
        <v>5</v>
      </c>
      <c r="H59" s="3">
        <v>6</v>
      </c>
      <c r="I59" s="3">
        <v>7</v>
      </c>
      <c r="J59" s="3">
        <v>8</v>
      </c>
      <c r="K59" s="3">
        <v>9</v>
      </c>
      <c r="L59" s="3">
        <v>10</v>
      </c>
      <c r="M59" s="3">
        <v>11</v>
      </c>
      <c r="N59" s="3">
        <v>12</v>
      </c>
    </row>
    <row r="60" spans="1:14" x14ac:dyDescent="0.2">
      <c r="B60" s="30">
        <v>1</v>
      </c>
      <c r="D60" s="25">
        <f t="shared" ref="D60:N60" si="6">D49*$B60</f>
        <v>88.791684751183496</v>
      </c>
    </row>
    <row r="61" spans="1:14" x14ac:dyDescent="0.2">
      <c r="B61" s="30">
        <v>2</v>
      </c>
      <c r="D61" s="25">
        <f t="shared" ref="D61:N61" si="7">D50*$B61</f>
        <v>120.43482134857851</v>
      </c>
    </row>
    <row r="62" spans="1:14" x14ac:dyDescent="0.2">
      <c r="B62" s="30">
        <v>4</v>
      </c>
      <c r="D62" s="25">
        <f t="shared" ref="D62:N62" si="8">D51*$B62</f>
        <v>138.73181195421586</v>
      </c>
    </row>
    <row r="63" spans="1:14" x14ac:dyDescent="0.2">
      <c r="B63" s="30">
        <v>8</v>
      </c>
      <c r="D63" s="25">
        <f t="shared" ref="D63:N63" si="9">D52*$B63</f>
        <v>115.50220658748219</v>
      </c>
      <c r="G63" s="25">
        <f t="shared" si="9"/>
        <v>674.82842256073138</v>
      </c>
      <c r="I63" s="25">
        <f t="shared" si="9"/>
        <v>682.12398189951284</v>
      </c>
    </row>
    <row r="64" spans="1:14" x14ac:dyDescent="0.2">
      <c r="B64" s="30">
        <v>16</v>
      </c>
      <c r="D64" s="25">
        <f t="shared" ref="D64:N64" si="10">D53*$B64</f>
        <v>91.902415115530289</v>
      </c>
      <c r="E64" s="25">
        <f t="shared" si="10"/>
        <v>1362.3024813086838</v>
      </c>
      <c r="F64" s="25">
        <f t="shared" si="10"/>
        <v>1088.9621914156701</v>
      </c>
      <c r="G64" s="25">
        <f t="shared" si="10"/>
        <v>978.06968946619099</v>
      </c>
      <c r="H64" s="25">
        <f t="shared" si="10"/>
        <v>1001.4154793502919</v>
      </c>
      <c r="I64" s="25">
        <f t="shared" si="10"/>
        <v>940.13278090452718</v>
      </c>
    </row>
    <row r="65" spans="1:14" x14ac:dyDescent="0.2">
      <c r="B65" s="30">
        <v>32</v>
      </c>
      <c r="D65" s="25">
        <f t="shared" ref="D65:N65" si="11">D54*$B65</f>
        <v>22.329783532696524</v>
      </c>
      <c r="E65" s="25">
        <f t="shared" si="11"/>
        <v>1868.592666867004</v>
      </c>
      <c r="F65" s="25">
        <f t="shared" si="11"/>
        <v>1318.0211221002928</v>
      </c>
      <c r="G65" s="25">
        <f t="shared" si="11"/>
        <v>1070.9448458268921</v>
      </c>
      <c r="H65" s="25">
        <f t="shared" si="11"/>
        <v>1306.348227158242</v>
      </c>
      <c r="I65" s="25">
        <f t="shared" si="11"/>
        <v>1100.1270831820184</v>
      </c>
    </row>
    <row r="66" spans="1:14" x14ac:dyDescent="0.2">
      <c r="B66" s="30">
        <v>64</v>
      </c>
      <c r="E66" s="25">
        <f t="shared" ref="D66:N66" si="12">E55*$B66</f>
        <v>2009.5968823105466</v>
      </c>
      <c r="F66" s="25">
        <f t="shared" si="12"/>
        <v>1441.5159951307594</v>
      </c>
      <c r="G66" s="25">
        <f t="shared" si="12"/>
        <v>916.23572273849072</v>
      </c>
      <c r="H66" s="25">
        <f t="shared" si="12"/>
        <v>1305.3322208068378</v>
      </c>
      <c r="I66" s="25">
        <f t="shared" si="12"/>
        <v>1029.0737071783112</v>
      </c>
      <c r="J66" s="25">
        <f t="shared" si="12"/>
        <v>4122.3908668216718</v>
      </c>
      <c r="K66" s="25">
        <f t="shared" si="12"/>
        <v>3830.5684932704116</v>
      </c>
      <c r="L66" s="25">
        <f t="shared" si="12"/>
        <v>4126.2818318023556</v>
      </c>
      <c r="M66" s="25">
        <f t="shared" si="12"/>
        <v>4141.8456917250896</v>
      </c>
      <c r="N66" s="25">
        <f t="shared" si="12"/>
        <v>3865.5871780965626</v>
      </c>
    </row>
    <row r="67" spans="1:14" x14ac:dyDescent="0.2">
      <c r="B67" s="30">
        <v>128</v>
      </c>
      <c r="E67" s="25">
        <f t="shared" ref="D67:N67" si="13">E56*$B67</f>
        <v>2104.8389941248242</v>
      </c>
      <c r="F67" s="25">
        <f t="shared" si="13"/>
        <v>1194.3531886448918</v>
      </c>
      <c r="G67" s="25">
        <f t="shared" si="13"/>
        <v>805.25669057654477</v>
      </c>
      <c r="H67" s="25">
        <f t="shared" si="13"/>
        <v>1233.2628384517266</v>
      </c>
      <c r="I67" s="25">
        <f t="shared" si="13"/>
        <v>836.38441042201248</v>
      </c>
      <c r="J67" s="25">
        <f t="shared" si="13"/>
        <v>5567.7978269331143</v>
      </c>
      <c r="K67" s="25">
        <f t="shared" si="13"/>
        <v>5046.4085195215303</v>
      </c>
      <c r="L67" s="25">
        <f t="shared" si="13"/>
        <v>5521.1062471649129</v>
      </c>
      <c r="M67" s="25">
        <f t="shared" si="13"/>
        <v>5100.8820292510991</v>
      </c>
      <c r="N67" s="25">
        <f t="shared" si="13"/>
        <v>4571.7107918781458</v>
      </c>
    </row>
    <row r="70" spans="1:14" x14ac:dyDescent="0.2">
      <c r="D70" s="31">
        <v>2</v>
      </c>
      <c r="E70" s="31">
        <v>3</v>
      </c>
      <c r="F70" s="31">
        <v>4</v>
      </c>
      <c r="G70" s="31">
        <v>5</v>
      </c>
      <c r="H70" s="31">
        <v>6</v>
      </c>
      <c r="I70" s="31">
        <v>7</v>
      </c>
      <c r="J70" s="31">
        <v>8</v>
      </c>
      <c r="K70" s="31">
        <v>9</v>
      </c>
      <c r="L70" s="31">
        <v>10</v>
      </c>
      <c r="M70" s="31">
        <v>11</v>
      </c>
      <c r="N70" s="31">
        <v>12</v>
      </c>
    </row>
    <row r="71" spans="1:14" x14ac:dyDescent="0.2">
      <c r="A71" s="25" t="s">
        <v>53</v>
      </c>
      <c r="C71" s="25" t="s">
        <v>39</v>
      </c>
      <c r="D71" s="25">
        <f>_xlfn.QUARTILE.INC(D60:D67,1)</f>
        <v>89.569367342270198</v>
      </c>
      <c r="E71" s="25">
        <f t="shared" ref="E71:N71" si="14">_xlfn.QUARTILE.INC(E60:E67,1)</f>
        <v>1742.0201204774239</v>
      </c>
      <c r="F71" s="25">
        <f t="shared" si="14"/>
        <v>1168.0054393375863</v>
      </c>
      <c r="G71" s="25">
        <f t="shared" si="14"/>
        <v>805.25669057654477</v>
      </c>
      <c r="H71" s="25">
        <f t="shared" si="14"/>
        <v>1175.300998676368</v>
      </c>
      <c r="I71" s="25">
        <f t="shared" si="14"/>
        <v>836.38441042201248</v>
      </c>
      <c r="J71" s="25">
        <f t="shared" si="14"/>
        <v>4483.7426068495324</v>
      </c>
      <c r="K71" s="25">
        <f t="shared" si="14"/>
        <v>4134.5284998331917</v>
      </c>
      <c r="L71" s="25">
        <f t="shared" si="14"/>
        <v>4474.9879356429947</v>
      </c>
      <c r="M71" s="25">
        <f t="shared" si="14"/>
        <v>4381.604776106592</v>
      </c>
      <c r="N71" s="25">
        <f t="shared" si="14"/>
        <v>4042.1180815419584</v>
      </c>
    </row>
    <row r="72" spans="1:14" x14ac:dyDescent="0.2">
      <c r="C72" s="25" t="s">
        <v>40</v>
      </c>
      <c r="D72" s="25">
        <f>_xlfn.QUARTILE.INC(D60:D67,3)</f>
        <v>119.20166765830443</v>
      </c>
      <c r="E72" s="25">
        <f t="shared" ref="E72:N72" si="15">_xlfn.QUARTILE.INC(E60:E67,3)</f>
        <v>2033.4074102641159</v>
      </c>
      <c r="F72" s="25">
        <f t="shared" si="15"/>
        <v>1348.8948403579095</v>
      </c>
      <c r="G72" s="25">
        <f t="shared" si="15"/>
        <v>978.06968946619099</v>
      </c>
      <c r="H72" s="25">
        <f t="shared" si="15"/>
        <v>1305.5862223946888</v>
      </c>
      <c r="I72" s="25">
        <f t="shared" si="15"/>
        <v>1029.0737071783112</v>
      </c>
      <c r="J72" s="25">
        <f t="shared" si="15"/>
        <v>5206.4460869052537</v>
      </c>
      <c r="K72" s="25">
        <f t="shared" si="15"/>
        <v>4742.4485129587501</v>
      </c>
      <c r="L72" s="25">
        <f t="shared" si="15"/>
        <v>5172.4001433242738</v>
      </c>
      <c r="M72" s="25">
        <f t="shared" si="15"/>
        <v>4861.1229448695967</v>
      </c>
      <c r="N72" s="25">
        <f t="shared" si="15"/>
        <v>4395.17988843275</v>
      </c>
    </row>
    <row r="73" spans="1:14" x14ac:dyDescent="0.2">
      <c r="C73" s="25" t="s">
        <v>41</v>
      </c>
      <c r="D73" s="25">
        <f>D72-D71</f>
        <v>29.632300316034232</v>
      </c>
      <c r="E73" s="25">
        <f t="shared" ref="E73:N73" si="16">E72-E71</f>
        <v>291.38728978669201</v>
      </c>
      <c r="F73" s="25">
        <f t="shared" si="16"/>
        <v>180.88940102032325</v>
      </c>
      <c r="G73" s="25">
        <f t="shared" si="16"/>
        <v>172.81299888964622</v>
      </c>
      <c r="H73" s="25">
        <f t="shared" si="16"/>
        <v>130.28522371832082</v>
      </c>
      <c r="I73" s="25">
        <f t="shared" si="16"/>
        <v>192.68929675629875</v>
      </c>
      <c r="J73" s="25">
        <f t="shared" si="16"/>
        <v>722.70348005572123</v>
      </c>
      <c r="K73" s="25">
        <f t="shared" si="16"/>
        <v>607.9200131255584</v>
      </c>
      <c r="L73" s="25">
        <f t="shared" si="16"/>
        <v>697.41220768127914</v>
      </c>
      <c r="M73" s="25">
        <f t="shared" si="16"/>
        <v>479.51816876300472</v>
      </c>
      <c r="N73" s="25">
        <f t="shared" si="16"/>
        <v>353.06180689079156</v>
      </c>
    </row>
    <row r="74" spans="1:14" x14ac:dyDescent="0.2">
      <c r="C74" s="25" t="s">
        <v>42</v>
      </c>
      <c r="D74" s="25">
        <f>D71-0.5*D73</f>
        <v>74.753217184253089</v>
      </c>
      <c r="E74" s="25">
        <f t="shared" ref="E74:N74" si="17">E71-0.5*E73</f>
        <v>1596.3264755840778</v>
      </c>
      <c r="F74" s="25">
        <f t="shared" si="17"/>
        <v>1077.5607388274248</v>
      </c>
      <c r="G74" s="25">
        <f t="shared" si="17"/>
        <v>718.85019113172166</v>
      </c>
      <c r="H74" s="25">
        <f t="shared" si="17"/>
        <v>1110.1583868172074</v>
      </c>
      <c r="I74" s="25">
        <f t="shared" si="17"/>
        <v>740.03976204386311</v>
      </c>
      <c r="J74" s="25">
        <f t="shared" si="17"/>
        <v>4122.3908668216718</v>
      </c>
      <c r="K74" s="25">
        <f t="shared" si="17"/>
        <v>3830.5684932704125</v>
      </c>
      <c r="L74" s="25">
        <f t="shared" si="17"/>
        <v>4126.2818318023546</v>
      </c>
      <c r="M74" s="25">
        <f t="shared" si="17"/>
        <v>4141.8456917250896</v>
      </c>
      <c r="N74" s="25">
        <f t="shared" si="17"/>
        <v>3865.5871780965626</v>
      </c>
    </row>
    <row r="75" spans="1:14" x14ac:dyDescent="0.2">
      <c r="C75" s="25" t="s">
        <v>43</v>
      </c>
      <c r="D75" s="25">
        <f>D72+0.5*D73</f>
        <v>134.01781781632155</v>
      </c>
      <c r="E75" s="25">
        <f t="shared" ref="E75:N75" si="18">E72+0.5*E73</f>
        <v>2179.1010551574618</v>
      </c>
      <c r="F75" s="25">
        <f t="shared" si="18"/>
        <v>1439.3395408680713</v>
      </c>
      <c r="G75" s="25">
        <f t="shared" si="18"/>
        <v>1064.4761889110141</v>
      </c>
      <c r="H75" s="25">
        <f t="shared" si="18"/>
        <v>1370.7288342538491</v>
      </c>
      <c r="I75" s="25">
        <f t="shared" si="18"/>
        <v>1125.4183555564605</v>
      </c>
      <c r="J75" s="25">
        <f t="shared" si="18"/>
        <v>5567.7978269331143</v>
      </c>
      <c r="K75" s="25">
        <f t="shared" si="18"/>
        <v>5046.4085195215293</v>
      </c>
      <c r="L75" s="25">
        <f t="shared" si="18"/>
        <v>5521.1062471649129</v>
      </c>
      <c r="M75" s="25">
        <f t="shared" si="18"/>
        <v>5100.8820292510991</v>
      </c>
      <c r="N75" s="25">
        <f t="shared" si="18"/>
        <v>4571.7107918781458</v>
      </c>
    </row>
    <row r="76" spans="1:14" x14ac:dyDescent="0.2">
      <c r="C76" s="25" t="s">
        <v>44</v>
      </c>
      <c r="D76" s="25">
        <f>AVERAGEIFS(D60:D67,D60:D67,"&gt;="&amp;D74,D60:D67,"&lt;="&amp;D75)</f>
        <v>104.15778195069362</v>
      </c>
      <c r="E76" s="25">
        <f t="shared" ref="E76:N76" si="19">AVERAGEIFS(E60:E67,E60:E67,"&gt;="&amp;E74,E60:E67,"&lt;="&amp;E75)</f>
        <v>1994.3428477674581</v>
      </c>
      <c r="F76" s="25">
        <f t="shared" si="19"/>
        <v>1200.4455007202848</v>
      </c>
      <c r="G76" s="25">
        <f t="shared" si="19"/>
        <v>899.85403426040887</v>
      </c>
      <c r="H76" s="25">
        <f t="shared" si="19"/>
        <v>1281.6477621389356</v>
      </c>
      <c r="I76" s="25">
        <f t="shared" si="19"/>
        <v>976.42949542171732</v>
      </c>
      <c r="J76" s="25">
        <f t="shared" si="19"/>
        <v>4845.094346877393</v>
      </c>
      <c r="K76" s="25">
        <f t="shared" si="19"/>
        <v>4438.4885063959709</v>
      </c>
      <c r="L76" s="25">
        <f t="shared" si="19"/>
        <v>4823.6940394836347</v>
      </c>
      <c r="M76" s="25">
        <f t="shared" si="19"/>
        <v>4621.3638604880944</v>
      </c>
      <c r="N76" s="25">
        <f t="shared" si="19"/>
        <v>4218.6489849873542</v>
      </c>
    </row>
    <row r="79" spans="1:14" x14ac:dyDescent="0.2">
      <c r="A79" s="25" t="s">
        <v>54</v>
      </c>
      <c r="B79" s="32">
        <v>75</v>
      </c>
      <c r="C79" s="3">
        <v>1</v>
      </c>
      <c r="D79" s="3">
        <v>2</v>
      </c>
      <c r="E79" s="3">
        <v>3</v>
      </c>
      <c r="F79" s="3">
        <v>4</v>
      </c>
      <c r="G79" s="3">
        <v>5</v>
      </c>
      <c r="H79" s="3">
        <v>6</v>
      </c>
      <c r="I79" s="3">
        <v>7</v>
      </c>
      <c r="J79" s="3">
        <v>8</v>
      </c>
      <c r="K79" s="3">
        <v>9</v>
      </c>
      <c r="L79" s="3">
        <v>10</v>
      </c>
      <c r="M79" s="3">
        <v>11</v>
      </c>
      <c r="N79" s="3">
        <v>12</v>
      </c>
    </row>
    <row r="80" spans="1:14" x14ac:dyDescent="0.2">
      <c r="B80" s="32" t="s">
        <v>56</v>
      </c>
      <c r="D80" s="25">
        <f>D76*10000</f>
        <v>1041577.8195069361</v>
      </c>
      <c r="E80" s="25">
        <f>E76*$B$79</f>
        <v>149575.71358255937</v>
      </c>
      <c r="F80" s="25">
        <f t="shared" ref="F80:N80" si="20">F76*$B$79</f>
        <v>90033.412554021357</v>
      </c>
      <c r="G80" s="25">
        <f t="shared" si="20"/>
        <v>67489.052569530671</v>
      </c>
      <c r="H80" s="25">
        <f t="shared" si="20"/>
        <v>96123.582160420177</v>
      </c>
      <c r="I80" s="25">
        <f t="shared" si="20"/>
        <v>73232.212156628797</v>
      </c>
      <c r="J80" s="25">
        <f t="shared" si="20"/>
        <v>363382.07601580449</v>
      </c>
      <c r="K80" s="25">
        <f t="shared" si="20"/>
        <v>332886.63797969784</v>
      </c>
      <c r="L80" s="25">
        <f t="shared" si="20"/>
        <v>361777.05296127259</v>
      </c>
      <c r="M80" s="25">
        <f t="shared" si="20"/>
        <v>346602.2895366071</v>
      </c>
      <c r="N80" s="25">
        <f t="shared" si="20"/>
        <v>316398.67387405154</v>
      </c>
    </row>
    <row r="81" spans="1:14" x14ac:dyDescent="0.2">
      <c r="A81" s="25" t="s">
        <v>55</v>
      </c>
      <c r="B81" s="32" t="s">
        <v>57</v>
      </c>
      <c r="D81" s="25">
        <f>D80/1000</f>
        <v>1041.5778195069361</v>
      </c>
      <c r="E81" s="25">
        <f t="shared" ref="E81:N81" si="21">E80/1000</f>
        <v>149.57571358255936</v>
      </c>
      <c r="F81" s="25">
        <f t="shared" si="21"/>
        <v>90.033412554021353</v>
      </c>
      <c r="G81" s="25">
        <f t="shared" si="21"/>
        <v>67.489052569530671</v>
      </c>
      <c r="H81" s="25">
        <f t="shared" si="21"/>
        <v>96.12358216042017</v>
      </c>
      <c r="I81" s="25">
        <f t="shared" si="21"/>
        <v>73.23221215662879</v>
      </c>
      <c r="J81" s="25">
        <f t="shared" si="21"/>
        <v>363.3820760158045</v>
      </c>
      <c r="K81" s="25">
        <f t="shared" si="21"/>
        <v>332.88663797969787</v>
      </c>
      <c r="L81" s="25">
        <f t="shared" si="21"/>
        <v>361.7770529612726</v>
      </c>
      <c r="M81" s="25">
        <f t="shared" si="21"/>
        <v>346.60228953660709</v>
      </c>
      <c r="N81" s="25">
        <f t="shared" si="21"/>
        <v>316.39867387405155</v>
      </c>
    </row>
  </sheetData>
  <pageMargins left="0.75" right="0.75" top="1" bottom="1" header="0.5" footer="0.5"/>
  <pageSetup orientation="portrait" horizontalDpi="4294967293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Plate 1 - 10 mins raw data</vt:lpstr>
      <vt:lpstr>Plate 1 - 10 mins analyzed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Mayara Garcia de Mattos Barbosa</dc:creator>
  <cp:lastModifiedBy>Rodrigo Godoy</cp:lastModifiedBy>
  <dcterms:created xsi:type="dcterms:W3CDTF">2011-01-18T20:51:17Z</dcterms:created>
  <dcterms:modified xsi:type="dcterms:W3CDTF">2025-06-22T21:24:33Z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oMacroName">
    <vt:lpwstr>None</vt:lpwstr>
  </property>
  <property fmtid="{D5CDD505-2E9C-101B-9397-08002B2CF9AE}" pid="3" name="LastEdited">
    <vt:lpwstr>16.0</vt:lpwstr>
  </property>
</Properties>
</file>